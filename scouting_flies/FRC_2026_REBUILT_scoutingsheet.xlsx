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REBUILT_2026_PITS" sheetId="1" r:id="rId1"/>
    <sheet name="PIT SCORE" sheetId="2" r:id="rId2"/>
    <sheet name="Organized Data -FUEL" sheetId="3" r:id="rId3"/>
    <sheet name="Organized Data - Climbing" sheetId="4" r:id="rId4"/>
    <sheet name=" Organized Data - Traversal" sheetId="5" r:id="rId5"/>
  </sheets>
  <calcPr calcId="144525"/>
</workbook>
</file>

<file path=xl/calcChain.xml><?xml version="1.0" encoding="utf-8"?>
<calcChain xmlns="http://schemas.openxmlformats.org/spreadsheetml/2006/main">
  <c r="H2" i="3" l="1"/>
  <c r="A2" i="3" a="1"/>
  <c r="A2" i="3" s="1"/>
  <c r="E2" i="3"/>
  <c r="I2" i="3"/>
  <c r="G2" i="3"/>
  <c r="F2" i="3"/>
  <c r="D2" i="3"/>
  <c r="B2" i="3"/>
  <c r="G2" i="2" a="1"/>
  <c r="G2" i="2" s="1"/>
  <c r="H2" i="2" a="1"/>
  <c r="C2" i="2"/>
  <c r="F2" i="2"/>
  <c r="E2" i="2"/>
  <c r="D2" i="2"/>
  <c r="H2" i="2" l="1"/>
</calcChain>
</file>

<file path=xl/sharedStrings.xml><?xml version="1.0" encoding="utf-8"?>
<sst xmlns="http://schemas.openxmlformats.org/spreadsheetml/2006/main" count="72" uniqueCount="68">
  <si>
    <t>TeamName</t>
  </si>
  <si>
    <t>TeamNumber</t>
  </si>
  <si>
    <t>Height</t>
  </si>
  <si>
    <t>Length</t>
  </si>
  <si>
    <t>Width</t>
  </si>
  <si>
    <t>NumberofBatteries</t>
  </si>
  <si>
    <t>Weight</t>
  </si>
  <si>
    <t>Drivetrain</t>
  </si>
  <si>
    <t>Speed</t>
  </si>
  <si>
    <t>Speed(exact)</t>
  </si>
  <si>
    <t>FuelCollectionMechanism</t>
  </si>
  <si>
    <t>ClimbingMechanism</t>
  </si>
  <si>
    <t>MaximumFuelCapacity</t>
  </si>
  <si>
    <t>FuelCollectionMethods</t>
  </si>
  <si>
    <t>PreferredCollectionLocation</t>
  </si>
  <si>
    <t>HighestHangingLevel</t>
  </si>
  <si>
    <t>HubCycleTime(b/sec)</t>
  </si>
  <si>
    <t>FuelCollectionCycleTime(b/sec)</t>
  </si>
  <si>
    <t>CollectingFuelfromtheFIELD?</t>
  </si>
  <si>
    <t>CollectingFuelfromtheOUTPOST?</t>
  </si>
  <si>
    <t>CollectingFuelfromtheDEPOT?</t>
  </si>
  <si>
    <t>ClimbingtoLevel1?</t>
  </si>
  <si>
    <t>ClimbingtoLevel2?</t>
  </si>
  <si>
    <t>ClimbingtoLevel3?</t>
  </si>
  <si>
    <t>ScoringFuelIntotheHUB?</t>
  </si>
  <si>
    <t>GoingUnderTRENCH?</t>
  </si>
  <si>
    <t>GoingOverBUMP?</t>
  </si>
  <si>
    <t>DoesithaveanAutonomousPhase?</t>
  </si>
  <si>
    <t>Canitmove?</t>
  </si>
  <si>
    <t>AutonScoringInHUB?</t>
  </si>
  <si>
    <t>AutonCollectionofFuel?</t>
  </si>
  <si>
    <t>AutonClimbingtoLevel1?</t>
  </si>
  <si>
    <t>HumanPlayerScoringConsistency(1-10)</t>
  </si>
  <si>
    <t>Rating(1-10)</t>
  </si>
  <si>
    <t>Comments</t>
  </si>
  <si>
    <t>ScoutedTime</t>
  </si>
  <si>
    <t>Test</t>
  </si>
  <si>
    <t>Just a test. Using Excel this time!</t>
  </si>
  <si>
    <t>Sat Jan 17 2026 15:47:34 GMT-0500 (Eastern Standard Time)</t>
  </si>
  <si>
    <t>TEAM Name</t>
  </si>
  <si>
    <t>TEAM #</t>
  </si>
  <si>
    <t>Speed Score</t>
  </si>
  <si>
    <t>Fuel Score</t>
  </si>
  <si>
    <t>Climb Score</t>
  </si>
  <si>
    <t>Human Score</t>
  </si>
  <si>
    <t>Overall Score</t>
  </si>
  <si>
    <t>Auton Score</t>
  </si>
  <si>
    <t>Max Fuel Cap.</t>
  </si>
  <si>
    <t>Fuel Cycle Time</t>
  </si>
  <si>
    <t>Scoring: Fuel Cycle Time</t>
  </si>
  <si>
    <t>Harvest: Fuel Cycle Time</t>
  </si>
  <si>
    <t>Auton: Scoring</t>
  </si>
  <si>
    <t>Auton:Collection</t>
  </si>
  <si>
    <t>Collection Mechanism</t>
  </si>
  <si>
    <t>Collection Spots</t>
  </si>
  <si>
    <t>Team #</t>
  </si>
  <si>
    <t>Highest Level</t>
  </si>
  <si>
    <t>Climbing Mechanism</t>
  </si>
  <si>
    <t>Auton Climbing</t>
  </si>
  <si>
    <t xml:space="preserve">Trench </t>
  </si>
  <si>
    <t>Bump</t>
  </si>
  <si>
    <t>ee</t>
  </si>
  <si>
    <t>None</t>
  </si>
  <si>
    <t>Fuel From FIELD</t>
  </si>
  <si>
    <t>Fuel From DEPOT</t>
  </si>
  <si>
    <t>FUEL From OUTPOST</t>
  </si>
  <si>
    <t>NOTE: Use VLOOKUP FOR TEAMS</t>
  </si>
  <si>
    <t>F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</si>
</sst>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AJ2" totalsRowShown="0">
  <autoFilter ref="A1:AJ2"/>
  <tableColumns count="36">
    <tableColumn id="1" name="TeamName"/>
    <tableColumn id="2" name="TeamNumber"/>
    <tableColumn id="3" name="Height"/>
    <tableColumn id="4" name="Length"/>
    <tableColumn id="5" name="Width"/>
    <tableColumn id="6" name="NumberofBatteries"/>
    <tableColumn id="7" name="Weight"/>
    <tableColumn id="8" name="Drivetrain"/>
    <tableColumn id="9" name="Speed"/>
    <tableColumn id="10" name="Speed(exact)"/>
    <tableColumn id="11" name="FuelCollectionMechanism"/>
    <tableColumn id="12" name="ClimbingMechanism"/>
    <tableColumn id="13" name="MaximumFuelCapacity"/>
    <tableColumn id="14" name="FuelCollectionMethods"/>
    <tableColumn id="15" name="PreferredCollectionLocation"/>
    <tableColumn id="16" name="HighestHangingLevel"/>
    <tableColumn id="17" name="HubCycleTime(b/sec)"/>
    <tableColumn id="18" name="FuelCollectionCycleTime(b/sec)"/>
    <tableColumn id="19" name="CollectingFuelfromtheFIELD?"/>
    <tableColumn id="20" name="CollectingFuelfromtheOUTPOST?"/>
    <tableColumn id="21" name="CollectingFuelfromtheDEPOT?"/>
    <tableColumn id="22" name="ClimbingtoLevel1?"/>
    <tableColumn id="23" name="ClimbingtoLevel2?"/>
    <tableColumn id="24" name="ClimbingtoLevel3?"/>
    <tableColumn id="25" name="ScoringFuelIntotheHUB?"/>
    <tableColumn id="26" name="GoingUnderTRENCH?"/>
    <tableColumn id="27" name="GoingOverBUMP?"/>
    <tableColumn id="28" name="DoesithaveanAutonomousPhase?"/>
    <tableColumn id="29" name="Canitmove?"/>
    <tableColumn id="30" name="AutonScoringInHUB?"/>
    <tableColumn id="31" name="AutonCollectionofFuel?"/>
    <tableColumn id="32" name="AutonClimbingtoLevel1?"/>
    <tableColumn id="33" name="HumanPlayerScoringConsistency(1-10)"/>
    <tableColumn id="34" name="Rating(1-10)"/>
    <tableColumn id="35" name="Comments"/>
    <tableColumn id="36" name="Scouted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opLeftCell="Z1" zoomScale="115" zoomScaleNormal="115" workbookViewId="0"/>
  </sheetViews>
  <sheetFormatPr defaultRowHeight="14.4" x14ac:dyDescent="0.3"/>
  <cols>
    <col min="1" max="1" width="12.5546875" customWidth="1"/>
    <col min="2" max="2" width="14.44140625" customWidth="1"/>
    <col min="3" max="3" width="8.33203125" customWidth="1"/>
    <col min="4" max="4" width="8.6640625" customWidth="1"/>
    <col min="5" max="5" width="8" customWidth="1"/>
    <col min="6" max="6" width="18.88671875" customWidth="1"/>
    <col min="7" max="7" width="8.88671875" customWidth="1"/>
    <col min="8" max="8" width="11.109375" customWidth="1"/>
    <col min="9" max="9" width="8.109375" customWidth="1"/>
    <col min="10" max="10" width="13.88671875" customWidth="1"/>
    <col min="11" max="11" width="24.44140625" customWidth="1"/>
    <col min="12" max="12" width="20" customWidth="1"/>
    <col min="13" max="13" width="22.109375" customWidth="1"/>
    <col min="14" max="14" width="22.21875" customWidth="1"/>
    <col min="15" max="15" width="26.33203125" customWidth="1"/>
    <col min="16" max="16" width="20.33203125" customWidth="1"/>
    <col min="17" max="17" width="20.88671875" customWidth="1"/>
    <col min="18" max="18" width="29.21875" customWidth="1"/>
    <col min="19" max="19" width="26.88671875" customWidth="1"/>
    <col min="20" max="20" width="30.44140625" customWidth="1"/>
    <col min="21" max="21" width="28" customWidth="1"/>
    <col min="22" max="24" width="18.21875" customWidth="1"/>
    <col min="25" max="25" width="23.33203125" customWidth="1"/>
    <col min="26" max="26" width="20.6640625" customWidth="1"/>
    <col min="27" max="27" width="18" customWidth="1"/>
    <col min="28" max="28" width="31.21875" customWidth="1"/>
    <col min="29" max="29" width="12.88671875" customWidth="1"/>
    <col min="30" max="30" width="20.5546875" customWidth="1"/>
    <col min="31" max="31" width="22.5546875" customWidth="1"/>
    <col min="32" max="32" width="23.44140625" customWidth="1"/>
    <col min="33" max="33" width="35.44140625" customWidth="1"/>
    <col min="34" max="34" width="13.21875" customWidth="1"/>
    <col min="35" max="35" width="27.77734375" bestFit="1" customWidth="1"/>
    <col min="36" max="36" width="51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</v>
      </c>
      <c r="C2">
        <v>5</v>
      </c>
      <c r="D2">
        <v>5</v>
      </c>
      <c r="E2">
        <v>5</v>
      </c>
      <c r="F2">
        <v>2</v>
      </c>
      <c r="G2">
        <v>200</v>
      </c>
      <c r="H2">
        <v>1</v>
      </c>
      <c r="I2">
        <v>0</v>
      </c>
      <c r="J2">
        <v>0</v>
      </c>
      <c r="K2">
        <v>1</v>
      </c>
      <c r="L2">
        <v>1</v>
      </c>
      <c r="M2">
        <v>9</v>
      </c>
      <c r="N2">
        <v>3</v>
      </c>
      <c r="O2">
        <v>0</v>
      </c>
      <c r="P2">
        <v>1</v>
      </c>
      <c r="Q2">
        <v>6</v>
      </c>
      <c r="R2">
        <v>10</v>
      </c>
      <c r="S2">
        <v>3</v>
      </c>
      <c r="T2">
        <v>2</v>
      </c>
      <c r="U2">
        <v>2</v>
      </c>
      <c r="V2">
        <v>0</v>
      </c>
      <c r="W2">
        <v>0</v>
      </c>
      <c r="X2">
        <v>0</v>
      </c>
      <c r="Y2">
        <v>5</v>
      </c>
      <c r="Z2">
        <v>1</v>
      </c>
      <c r="AA2">
        <v>2</v>
      </c>
      <c r="AB2" t="b">
        <v>1</v>
      </c>
      <c r="AC2" t="b">
        <v>1</v>
      </c>
      <c r="AD2">
        <v>0</v>
      </c>
      <c r="AE2">
        <v>0</v>
      </c>
      <c r="AF2">
        <v>1</v>
      </c>
      <c r="AG2">
        <v>8</v>
      </c>
      <c r="AH2">
        <v>2</v>
      </c>
      <c r="AI2" t="s">
        <v>37</v>
      </c>
      <c r="AJ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4.4" x14ac:dyDescent="0.3"/>
  <cols>
    <col min="1" max="1" width="10.77734375" customWidth="1"/>
    <col min="3" max="3" width="10.6640625" customWidth="1"/>
    <col min="4" max="4" width="10.21875" customWidth="1"/>
    <col min="5" max="5" width="10.6640625" customWidth="1"/>
    <col min="6" max="6" width="11.88671875" customWidth="1"/>
    <col min="7" max="7" width="11.77734375" customWidth="1"/>
    <col min="8" max="8" width="13.109375" customWidth="1"/>
  </cols>
  <sheetData>
    <row r="1" spans="1:8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46</v>
      </c>
      <c r="H1" t="s">
        <v>45</v>
      </c>
    </row>
    <row r="2" spans="1:8" x14ac:dyDescent="0.3">
      <c r="A2" t="s">
        <v>36</v>
      </c>
      <c r="B2">
        <v>1</v>
      </c>
      <c r="C2">
        <f>INDEX(REBUILT_2026_PITS!I2,1)</f>
        <v>0</v>
      </c>
      <c r="D2">
        <f>SUM( INDEX(REBUILT_2026_PITS!M2,1) + INDEX(REBUILT_2026_PITS!N2,1) + INDEX(REBUILT_2026_PITS!S2,1) + INDEX(REBUILT_2026_PITS!Y2,1) +  INDEX(REBUILT_2026_PITS!AD2,1) )</f>
        <v>20</v>
      </c>
      <c r="E2">
        <f>SUM( INDEX(REBUILT_2026_PITS!P2,1) +  INDEX(REBUILT_2026_PITS!AE2,1) +  INDEX(REBUILT_2026_PITS!AF2,1) )</f>
        <v>2</v>
      </c>
      <c r="F2">
        <f>INDEX(REBUILT_2026_PITS!AG2,1)</f>
        <v>8</v>
      </c>
      <c r="G2">
        <f t="array" ref="G2">SUM( INDEX(REBUILT_2026_PITS!AD2,1) +  INDEX(REBUILT_2026_PITS!AE2,1) +  INDEX(REBUILT_2026_PITS!AF2,1) )</f>
        <v>1</v>
      </c>
      <c r="H2">
        <f t="array" ref="H2">SUM(C2+D2+E2+F2+G2)</f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G21" sqref="G21"/>
    </sheetView>
  </sheetViews>
  <sheetFormatPr defaultRowHeight="14.4" x14ac:dyDescent="0.3"/>
  <cols>
    <col min="2" max="2" width="12.109375" customWidth="1"/>
    <col min="3" max="3" width="13.33203125" customWidth="1"/>
    <col min="4" max="4" width="13.6640625" customWidth="1"/>
    <col min="5" max="5" width="13.21875" customWidth="1"/>
    <col min="8" max="8" width="19.21875" bestFit="1" customWidth="1"/>
    <col min="9" max="9" width="13.88671875" customWidth="1"/>
    <col min="15" max="15" width="19.21875" customWidth="1"/>
  </cols>
  <sheetData>
    <row r="1" spans="1:15" x14ac:dyDescent="0.3">
      <c r="A1" t="s">
        <v>40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O1" t="s">
        <v>67</v>
      </c>
    </row>
    <row r="2" spans="1:15" x14ac:dyDescent="0.3">
      <c r="A2" s="1">
        <f t="array" ref="A2">VLOOKUP(REBUILT_2026_PITS!B2,REBUILT_2026_PITS!B1:B50,1)</f>
        <v>1</v>
      </c>
      <c r="B2">
        <f>INDEX(REBUILT_2026_PITS!M2,1)</f>
        <v>9</v>
      </c>
      <c r="D2">
        <f>INDEX(REBUILT_2026_PITS!Q2,1)</f>
        <v>6</v>
      </c>
      <c r="E2">
        <f>INDEX(REBUILT_2026_PITS!R2,1)</f>
        <v>10</v>
      </c>
      <c r="F2">
        <f>INDEX(REBUILT_2026_PITS!AD2,1)</f>
        <v>0</v>
      </c>
      <c r="G2">
        <f>INDEX(REBUILT_2026_PITS!AE2,1)</f>
        <v>0</v>
      </c>
      <c r="H2">
        <f>INDEX(REBUILT_2026_PITS!K2,1)</f>
        <v>1</v>
      </c>
      <c r="I2">
        <f>INDEX(REBUILT_2026_PITS!O2,1)</f>
        <v>0</v>
      </c>
      <c r="O2" t="s">
        <v>63</v>
      </c>
    </row>
    <row r="3" spans="1:15" x14ac:dyDescent="0.3">
      <c r="O3" t="s">
        <v>64</v>
      </c>
    </row>
    <row r="4" spans="1:15" x14ac:dyDescent="0.3">
      <c r="O4" t="s">
        <v>65</v>
      </c>
    </row>
    <row r="5" spans="1:15" x14ac:dyDescent="0.3">
      <c r="O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E1" sqref="E1"/>
    </sheetView>
  </sheetViews>
  <sheetFormatPr defaultRowHeight="14.4" x14ac:dyDescent="0.3"/>
  <cols>
    <col min="2" max="2" width="11.88671875" customWidth="1"/>
    <col min="3" max="3" width="18.88671875" customWidth="1"/>
    <col min="4" max="4" width="13.6640625" customWidth="1"/>
  </cols>
  <sheetData>
    <row r="1" spans="1:4" x14ac:dyDescent="0.3">
      <c r="A1" t="s">
        <v>55</v>
      </c>
      <c r="B1" t="s">
        <v>56</v>
      </c>
      <c r="C1" t="s">
        <v>57</v>
      </c>
      <c r="D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9" sqref="D9"/>
    </sheetView>
  </sheetViews>
  <sheetFormatPr defaultRowHeight="14.4" x14ac:dyDescent="0.3"/>
  <cols>
    <col min="3" max="3" width="10.33203125" customWidth="1"/>
  </cols>
  <sheetData>
    <row r="1" spans="1:4" x14ac:dyDescent="0.3">
      <c r="A1" t="s">
        <v>55</v>
      </c>
      <c r="B1" t="s">
        <v>8</v>
      </c>
      <c r="C1" t="s">
        <v>59</v>
      </c>
      <c r="D1" t="s">
        <v>60</v>
      </c>
    </row>
    <row r="2" spans="1:4" x14ac:dyDescent="0.3">
      <c r="A2" t="s">
        <v>66</v>
      </c>
      <c r="B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REBUILT_2026_PITS</vt:lpstr>
      <vt:lpstr>PIT SCORE</vt:lpstr>
      <vt:lpstr>Organized Data -FUEL</vt:lpstr>
      <vt:lpstr>Organized Data - Climbing</vt:lpstr>
      <vt:lpstr> Organized Data - Traversal</vt:lpstr>
    </vt:vector>
  </TitlesOfParts>
  <Company>Clawson Public Schools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Robotics</dc:creator>
  <cp:lastModifiedBy>Robotics</cp:lastModifiedBy>
  <dcterms:created xsi:type="dcterms:W3CDTF">2026-01-17T16:29:31Z</dcterms:created>
  <dcterms:modified xsi:type="dcterms:W3CDTF">2026-01-24T20:56:01Z</dcterms:modified>
</cp:coreProperties>
</file>